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Board" sheetId="1" state="visible" r:id="rId3"/>
    <sheet name="Summary" sheetId="2" state="visible" r:id="rId4"/>
  </sheets>
  <definedNames>
    <definedName function="false" hidden="true" localSheetId="0" name="_xlnm._FilterDatabase" vbProcedure="false">'Sprint Board'!$A$1:$E$27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<sst xmlns="http://schemas.openxmlformats.org/spreadsheetml/2006/main" count="124" uniqueCount="77">
  <si>
    <t xml:space="preserve">Column</t>
  </si>
  <si>
    <t xml:space="preserve">Tag</t>
  </si>
  <si>
    <t xml:space="preserve">Task</t>
  </si>
  <si>
    <t xml:space="preserve">Description</t>
  </si>
  <si>
    <t xml:space="preserve">Reference</t>
  </si>
  <si>
    <t xml:space="preserve">To Do</t>
  </si>
  <si>
    <t xml:space="preserve">Increment 2</t>
  </si>
  <si>
    <t xml:space="preserve">Observation Drafting sub-workflow</t>
  </si>
  <si>
    <t xml:space="preserve">Row-by-row over the completed audit working file: draft criteria/condition/cause/risk/recommendation, assign rating from residual risk level, flag insufficient-evidence causes instead of inventing (GR-04).</t>
  </si>
  <si>
    <t xml:space="preserve">Referenced by orchestrator, not yet built</t>
  </si>
  <si>
    <t xml:space="preserve">Parser: completed audit working file (xlsx)</t>
  </si>
  <si>
    <t xml:space="preserve">Row extraction into working_file_row — risk, control, test steps, work done, test status/result, residual risk level, evidence refs.</t>
  </si>
  <si>
    <t xml:space="preserve">Parser: kick-off deck (pptx)</t>
  </si>
  <si>
    <t xml:space="preserve">Objectives, scope, review period, stakeholder/acknowledgment text, 3 audit-team name+title pairs (D-3).</t>
  </si>
  <si>
    <t xml:space="preserve">Parser: optional inputs incl. legacy .ppt</t>
  </si>
  <si>
    <t xml:space="preserve">Audit notification, process understanding (must read legacy binary .ppt per FR-05), analysis sheet.</t>
  </si>
  <si>
    <t xml:space="preserve">Increment 3</t>
  </si>
  <si>
    <t xml:space="preserve">Round-trip Reconciliation sub-workflow</t>
  </si>
  <si>
    <t xml:space="preserve">Diff an auditor-edited, re-uploaded Word file against stable paragraph ids; map changes back to observation rows; update state store as new source of truth (FR-21).</t>
  </si>
  <si>
    <t xml:space="preserve">Final Issue sub-workflow</t>
  </si>
  <si>
    <t xml:space="preserve">Check all observations approved/frozen, flip status Draft to Final, emit Word + PDF + Summary Observations PPTX, close chat.</t>
  </si>
  <si>
    <t xml:space="preserve">Summary Observations PPTX renderer</t>
  </si>
  <si>
    <t xml:space="preserve">One-to-two-slide render into Beyon's existing template: title/logo, key observations one line each, brief action plan + status.</t>
  </si>
  <si>
    <t xml:space="preserve">Increment 4</t>
  </si>
  <si>
    <t xml:space="preserve">Template fidelity validator (GR-02)</t>
  </si>
  <si>
    <t xml:space="preserve">Automated structural diff of generated Word doc vs fixed template - section order, table shapes, rating labels/colours - before it reaches the reviewer.</t>
  </si>
  <si>
    <t xml:space="preserve">End-to-end test on the CVM pilot dataset</t>
  </si>
  <si>
    <t xml:space="preserve">Full run against the real RCM_CVM_Review + kick-off deck + issued report as ground truth, scored against Beyon's 10-point + 8-point acceptance criteria.</t>
  </si>
  <si>
    <t xml:space="preserve">In Progress</t>
  </si>
  <si>
    <t xml:space="preserve">Nothing active right now</t>
  </si>
  <si>
    <t xml:space="preserve">Pick up from To Do for the next increment.</t>
  </si>
  <si>
    <t xml:space="preserve">Review</t>
  </si>
  <si>
    <t xml:space="preserve">Increment 1</t>
  </si>
  <si>
    <t xml:space="preserve">Build v0.1 package</t>
  </si>
  <si>
    <t xml:space="preserve">State-store schema + orchestrator + Intake &amp; Parse + Front-Matter Assembly + Document Assembly + Refinement, delivered as build_v0.1.zip. Awaiting review before Increment 2 starts.</t>
  </si>
  <si>
    <t xml:space="preserve">Done</t>
  </si>
  <si>
    <t xml:space="preserve">Postgres state-store schema</t>
  </si>
  <si>
    <t xml:space="preserve">engagement, source_document, working_file_row, observation, appendix_item, change_log. Frozen-observation trigger enforces GR-01 at the data layer.</t>
  </si>
  <si>
    <t xml:space="preserve">sql/001_schema.sql</t>
  </si>
  <si>
    <t xml:space="preserve">Orchestrator workflow</t>
  </si>
  <si>
    <t xml:space="preserve">Form Trigger -&gt; new engagement path; Chat Trigger -&gt; resolve session to existing engagement only (no new-engagement path via chat).</t>
  </si>
  <si>
    <t xml:space="preserve">workflows/01_orchestrator.json</t>
  </si>
  <si>
    <t xml:space="preserve">Intake &amp; Parse sub-workflow</t>
  </si>
  <si>
    <t xml:space="preserve">Classifies uploads, validates mandatory inputs, records gaps for optional ones (FR-23), fans out to per-file-type parsers.</t>
  </si>
  <si>
    <t xml:space="preserve">workflows/02_intake_and_parse.json</t>
  </si>
  <si>
    <t xml:space="preserve">Front-Matter Assembly sub-workflow</t>
  </si>
  <si>
    <t xml:space="preserve">Verbatim + fill + opinion-lookup + generated-background sections, grounded per GR-03/GR-04.</t>
  </si>
  <si>
    <t xml:space="preserve">workflows/03_front_matter_assembly.json</t>
  </si>
  <si>
    <t xml:space="preserve">Document Assembly sub-workflow</t>
  </si>
  <si>
    <t xml:space="preserve">Deterministic render from state store, rebuilds TOC/List of Issues/Dashboard, tags stable paragraph ids for round-trip mapping.</t>
  </si>
  <si>
    <t xml:space="preserve">workflows/04_document_assembly.json</t>
  </si>
  <si>
    <t xml:space="preserve">Refinement sub-workflow (chat)</t>
  </si>
  <si>
    <t xml:space="preserve">Scoped to Detailed Audit Issues. 8 instruction types, narrow context per edit, GR-01 frozen-block, change-log on every mutation.</t>
  </si>
  <si>
    <t xml:space="preserve">workflows/05_refinement.json</t>
  </si>
  <si>
    <t xml:space="preserve">Overall opinion paragraph library</t>
  </si>
  <si>
    <t xml:space="preserve">Transcribed from the BRD image, cross-checked against the issued CVM report. Marked provisional pending D-2.</t>
  </si>
  <si>
    <t xml:space="preserve">overall_opinion_library.json</t>
  </si>
  <si>
    <t xml:space="preserve">HLD + end-to-end flowchart</t>
  </si>
  <si>
    <t xml:space="preserve">Architecture doc and visual flow covering intake, refinement loop, round-trip, and final issue.</t>
  </si>
  <si>
    <t xml:space="preserve">HLD_Internal_Audit_Report_Drafter.md</t>
  </si>
  <si>
    <t xml:space="preserve">Blocked</t>
  </si>
  <si>
    <t xml:space="preserve">Beyon dependency</t>
  </si>
  <si>
    <t xml:space="preserve">Confirm overall opinion library (D-2)</t>
  </si>
  <si>
    <t xml:space="preserve">Our provisional transcription needs sign-off against Beyon's live SOP text before it's treated as final.</t>
  </si>
  <si>
    <t xml:space="preserve">Appendix selection rule beyond length heuristic (D-4)</t>
  </si>
  <si>
    <t xml:space="preserve">Needed to finalize the auto-direction logic in appendix_item / Document Assembly.</t>
  </si>
  <si>
    <t xml:space="preserve">Area for Improvement issue type (FR-26 origin)</t>
  </si>
  <si>
    <t xml:space="preserve">Seen in the issued CVM report but not in the written requirements sheet - needs confirmation in Beyon's review markup.</t>
  </si>
  <si>
    <t xml:space="preserve">Effort baseline for time-saving metric (D-5)</t>
  </si>
  <si>
    <t xml:space="preserve">No manual baseline agreed yet; needed before the O-1 time-saving criterion can be measured rather than reported as indicative.</t>
  </si>
  <si>
    <t xml:space="preserve">Process-understanding embedded images - scope decision</t>
  </si>
  <si>
    <t xml:space="preserve">Ignore / carry as appendix reference only / agent-placed - needs a decision before Observation Drafting or Front-Matter Assembly touch this.</t>
  </si>
  <si>
    <t xml:space="preserve">2-3 additional worked engagements (D-1)</t>
  </si>
  <si>
    <t xml:space="preserve">Needed so pilot acceptance isn't judged on the CVM engagement alone.</t>
  </si>
  <si>
    <t xml:space="preserve">Named reviewers &amp; availability across 6 weeks (D-6)</t>
  </si>
  <si>
    <t xml:space="preserve">Needed to schedule the human-review scoring pass in Section 11.2.</t>
  </si>
  <si>
    <t xml:space="preserve">Task Count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</si>
</sst>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C1F26"/>
        <bgColor rgb="FF333300"/>
      </patternFill>
    </fill>
    <fill>
      <patternFill patternType="solid">
        <fgColor rgb="FF64748B"/>
        <bgColor rgb="FF808080"/>
      </patternFill>
    </fill>
    <fill>
      <patternFill patternType="solid">
        <fgColor rgb="FFDBEAFE"/>
        <bgColor rgb="FFE5E7EB"/>
      </patternFill>
    </fill>
    <fill>
      <patternFill patternType="solid">
        <fgColor rgb="FF2563EB"/>
        <bgColor rgb="FF0066CC"/>
      </patternFill>
    </fill>
    <fill>
      <patternFill patternType="solid">
        <fgColor rgb="FFA855F7"/>
        <bgColor rgb="FF993366"/>
      </patternFill>
    </fill>
    <fill>
      <patternFill patternType="solid">
        <fgColor rgb="FFDCFCE7"/>
        <bgColor rgb="FFDBEAFE"/>
      </patternFill>
    </fill>
    <fill>
      <patternFill patternType="solid">
        <fgColor rgb="FF16A34A"/>
        <bgColor rgb="FF008080"/>
      </patternFill>
    </fill>
    <fill>
      <patternFill patternType="solid">
        <fgColor rgb="FFDC2626"/>
        <bgColor rgb="FF993300"/>
      </patternFill>
    </fill>
    <fill>
      <patternFill patternType="solid">
        <fgColor rgb="FFFEE2E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6A34A"/>
          <bgColor rgb="FF000000"/>
        </patternFill>
      </fill>
    </dxf>
    <dxf>
      <fill>
        <patternFill patternType="solid">
          <fgColor rgb="FF1C1F26"/>
          <bgColor rgb="FF000000"/>
        </patternFill>
      </fill>
    </dxf>
    <dxf>
      <fill>
        <patternFill patternType="solid">
          <fgColor rgb="FF2563EB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ill>
        <patternFill patternType="solid">
          <fgColor rgb="FFA855F7"/>
          <bgColor rgb="FF000000"/>
        </patternFill>
      </fill>
    </dxf>
    <dxf>
      <fill>
        <patternFill patternType="solid">
          <fgColor rgb="FFDC26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855F7"/>
      <rgbColor rgb="FF993366"/>
      <rgbColor rgb="FFFEE2E2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5E7EB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C1F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45.75" hidden="false" customHeight="true" outlineLevel="0" collapsed="false">
      <c r="A2" s="2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 customFormat="false" ht="45.75" hidden="false" customHeight="true" outlineLevel="0" collapsed="false">
      <c r="A3" s="2" t="s">
        <v>5</v>
      </c>
      <c r="B3" s="3" t="s">
        <v>6</v>
      </c>
      <c r="C3" s="4" t="s">
        <v>10</v>
      </c>
      <c r="D3" s="4" t="s">
        <v>11</v>
      </c>
      <c r="E3" s="4"/>
    </row>
    <row r="4" customFormat="false" ht="45.75" hidden="false" customHeight="true" outlineLevel="0" collapsed="false">
      <c r="A4" s="2" t="s">
        <v>5</v>
      </c>
      <c r="B4" s="3" t="s">
        <v>6</v>
      </c>
      <c r="C4" s="4" t="s">
        <v>12</v>
      </c>
      <c r="D4" s="4" t="s">
        <v>13</v>
      </c>
      <c r="E4" s="4"/>
    </row>
    <row r="5" customFormat="false" ht="45.75" hidden="false" customHeight="true" outlineLevel="0" collapsed="false">
      <c r="A5" s="2" t="s">
        <v>5</v>
      </c>
      <c r="B5" s="3" t="s">
        <v>6</v>
      </c>
      <c r="C5" s="4" t="s">
        <v>14</v>
      </c>
      <c r="D5" s="4" t="s">
        <v>15</v>
      </c>
      <c r="E5" s="4"/>
    </row>
    <row r="6" customFormat="false" ht="45.75" hidden="false" customHeight="true" outlineLevel="0" collapsed="false">
      <c r="A6" s="2" t="s">
        <v>5</v>
      </c>
      <c r="B6" s="3" t="s">
        <v>16</v>
      </c>
      <c r="C6" s="4" t="s">
        <v>17</v>
      </c>
      <c r="D6" s="4" t="s">
        <v>18</v>
      </c>
      <c r="E6" s="4"/>
    </row>
    <row r="7" customFormat="false" ht="45.75" hidden="false" customHeight="true" outlineLevel="0" collapsed="false">
      <c r="A7" s="2" t="s">
        <v>5</v>
      </c>
      <c r="B7" s="3" t="s">
        <v>16</v>
      </c>
      <c r="C7" s="4" t="s">
        <v>19</v>
      </c>
      <c r="D7" s="4" t="s">
        <v>20</v>
      </c>
      <c r="E7" s="4"/>
    </row>
    <row r="8" customFormat="false" ht="45.75" hidden="false" customHeight="true" outlineLevel="0" collapsed="false">
      <c r="A8" s="2" t="s">
        <v>5</v>
      </c>
      <c r="B8" s="3" t="s">
        <v>16</v>
      </c>
      <c r="C8" s="4" t="s">
        <v>21</v>
      </c>
      <c r="D8" s="4" t="s">
        <v>22</v>
      </c>
      <c r="E8" s="4"/>
    </row>
    <row r="9" customFormat="false" ht="45.75" hidden="false" customHeight="true" outlineLevel="0" collapsed="false">
      <c r="A9" s="2" t="s">
        <v>5</v>
      </c>
      <c r="B9" s="3" t="s">
        <v>23</v>
      </c>
      <c r="C9" s="4" t="s">
        <v>24</v>
      </c>
      <c r="D9" s="4" t="s">
        <v>25</v>
      </c>
      <c r="E9" s="4"/>
    </row>
    <row r="10" customFormat="false" ht="45.75" hidden="false" customHeight="true" outlineLevel="0" collapsed="false">
      <c r="A10" s="2" t="s">
        <v>5</v>
      </c>
      <c r="B10" s="3" t="s">
        <v>23</v>
      </c>
      <c r="C10" s="4" t="s">
        <v>26</v>
      </c>
      <c r="D10" s="4" t="s">
        <v>27</v>
      </c>
      <c r="E10" s="4"/>
    </row>
    <row r="11" customFormat="false" ht="45.75" hidden="false" customHeight="true" outlineLevel="0" collapsed="false">
      <c r="A11" s="5" t="s">
        <v>28</v>
      </c>
      <c r="B11" s="4"/>
      <c r="C11" s="4" t="s">
        <v>29</v>
      </c>
      <c r="D11" s="4" t="s">
        <v>30</v>
      </c>
      <c r="E11" s="4"/>
    </row>
    <row r="12" customFormat="false" ht="45.75" hidden="false" customHeight="true" outlineLevel="0" collapsed="false">
      <c r="A12" s="6" t="s">
        <v>31</v>
      </c>
      <c r="B12" s="7" t="s">
        <v>32</v>
      </c>
      <c r="C12" s="4" t="s">
        <v>33</v>
      </c>
      <c r="D12" s="4" t="s">
        <v>34</v>
      </c>
      <c r="E12" s="4"/>
    </row>
    <row r="13" customFormat="false" ht="45.75" hidden="false" customHeight="true" outlineLevel="0" collapsed="false">
      <c r="A13" s="8" t="s">
        <v>35</v>
      </c>
      <c r="B13" s="7" t="s">
        <v>32</v>
      </c>
      <c r="C13" s="4" t="s">
        <v>36</v>
      </c>
      <c r="D13" s="4" t="s">
        <v>37</v>
      </c>
      <c r="E13" s="4" t="s">
        <v>38</v>
      </c>
    </row>
    <row r="14" customFormat="false" ht="45.75" hidden="false" customHeight="true" outlineLevel="0" collapsed="false">
      <c r="A14" s="8" t="s">
        <v>35</v>
      </c>
      <c r="B14" s="7" t="s">
        <v>32</v>
      </c>
      <c r="C14" s="4" t="s">
        <v>39</v>
      </c>
      <c r="D14" s="4" t="s">
        <v>40</v>
      </c>
      <c r="E14" s="4" t="s">
        <v>41</v>
      </c>
    </row>
    <row r="15" customFormat="false" ht="45.75" hidden="false" customHeight="true" outlineLevel="0" collapsed="false">
      <c r="A15" s="8" t="s">
        <v>35</v>
      </c>
      <c r="B15" s="7" t="s">
        <v>32</v>
      </c>
      <c r="C15" s="4" t="s">
        <v>42</v>
      </c>
      <c r="D15" s="4" t="s">
        <v>43</v>
      </c>
      <c r="E15" s="4" t="s">
        <v>44</v>
      </c>
    </row>
    <row r="16" customFormat="false" ht="45.75" hidden="false" customHeight="true" outlineLevel="0" collapsed="false">
      <c r="A16" s="8" t="s">
        <v>35</v>
      </c>
      <c r="B16" s="7" t="s">
        <v>32</v>
      </c>
      <c r="C16" s="4" t="s">
        <v>45</v>
      </c>
      <c r="D16" s="4" t="s">
        <v>46</v>
      </c>
      <c r="E16" s="4" t="s">
        <v>47</v>
      </c>
    </row>
    <row r="17" customFormat="false" ht="45.75" hidden="false" customHeight="true" outlineLevel="0" collapsed="false">
      <c r="A17" s="8" t="s">
        <v>35</v>
      </c>
      <c r="B17" s="7" t="s">
        <v>32</v>
      </c>
      <c r="C17" s="4" t="s">
        <v>48</v>
      </c>
      <c r="D17" s="4" t="s">
        <v>49</v>
      </c>
      <c r="E17" s="4" t="s">
        <v>50</v>
      </c>
    </row>
    <row r="18" customFormat="false" ht="45.75" hidden="false" customHeight="true" outlineLevel="0" collapsed="false">
      <c r="A18" s="8" t="s">
        <v>35</v>
      </c>
      <c r="B18" s="7" t="s">
        <v>32</v>
      </c>
      <c r="C18" s="4" t="s">
        <v>51</v>
      </c>
      <c r="D18" s="4" t="s">
        <v>52</v>
      </c>
      <c r="E18" s="4" t="s">
        <v>53</v>
      </c>
    </row>
    <row r="19" customFormat="false" ht="45.75" hidden="false" customHeight="true" outlineLevel="0" collapsed="false">
      <c r="A19" s="8" t="s">
        <v>35</v>
      </c>
      <c r="B19" s="7" t="s">
        <v>32</v>
      </c>
      <c r="C19" s="4" t="s">
        <v>54</v>
      </c>
      <c r="D19" s="4" t="s">
        <v>55</v>
      </c>
      <c r="E19" s="4" t="s">
        <v>56</v>
      </c>
    </row>
    <row r="20" customFormat="false" ht="45.75" hidden="false" customHeight="true" outlineLevel="0" collapsed="false">
      <c r="A20" s="8" t="s">
        <v>35</v>
      </c>
      <c r="B20" s="7" t="s">
        <v>32</v>
      </c>
      <c r="C20" s="4" t="s">
        <v>57</v>
      </c>
      <c r="D20" s="4" t="s">
        <v>58</v>
      </c>
      <c r="E20" s="4" t="s">
        <v>59</v>
      </c>
    </row>
    <row r="21" customFormat="false" ht="45.75" hidden="false" customHeight="true" outlineLevel="0" collapsed="false">
      <c r="A21" s="9" t="s">
        <v>60</v>
      </c>
      <c r="B21" s="10" t="s">
        <v>61</v>
      </c>
      <c r="C21" s="4" t="s">
        <v>62</v>
      </c>
      <c r="D21" s="4" t="s">
        <v>63</v>
      </c>
      <c r="E21" s="4"/>
    </row>
    <row r="22" customFormat="false" ht="45.75" hidden="false" customHeight="true" outlineLevel="0" collapsed="false">
      <c r="A22" s="9" t="s">
        <v>60</v>
      </c>
      <c r="B22" s="10" t="s">
        <v>61</v>
      </c>
      <c r="C22" s="4" t="s">
        <v>64</v>
      </c>
      <c r="D22" s="4" t="s">
        <v>65</v>
      </c>
      <c r="E22" s="4"/>
    </row>
    <row r="23" customFormat="false" ht="45.75" hidden="false" customHeight="true" outlineLevel="0" collapsed="false">
      <c r="A23" s="9" t="s">
        <v>60</v>
      </c>
      <c r="B23" s="10" t="s">
        <v>61</v>
      </c>
      <c r="C23" s="4" t="s">
        <v>66</v>
      </c>
      <c r="D23" s="4" t="s">
        <v>67</v>
      </c>
      <c r="E23" s="4"/>
    </row>
    <row r="24" customFormat="false" ht="45.75" hidden="false" customHeight="true" outlineLevel="0" collapsed="false">
      <c r="A24" s="9" t="s">
        <v>60</v>
      </c>
      <c r="B24" s="10" t="s">
        <v>61</v>
      </c>
      <c r="C24" s="4" t="s">
        <v>68</v>
      </c>
      <c r="D24" s="4" t="s">
        <v>69</v>
      </c>
      <c r="E24" s="4"/>
    </row>
    <row r="25" customFormat="false" ht="45.75" hidden="false" customHeight="true" outlineLevel="0" collapsed="false">
      <c r="A25" s="9" t="s">
        <v>60</v>
      </c>
      <c r="B25" s="10" t="s">
        <v>61</v>
      </c>
      <c r="C25" s="4" t="s">
        <v>70</v>
      </c>
      <c r="D25" s="4" t="s">
        <v>71</v>
      </c>
      <c r="E25" s="4"/>
    </row>
    <row r="26" customFormat="false" ht="45.75" hidden="false" customHeight="true" outlineLevel="0" collapsed="false">
      <c r="A26" s="9" t="s">
        <v>60</v>
      </c>
      <c r="B26" s="10" t="s">
        <v>61</v>
      </c>
      <c r="C26" s="4" t="s">
        <v>72</v>
      </c>
      <c r="D26" s="4" t="s">
        <v>73</v>
      </c>
      <c r="E26" s="4"/>
    </row>
    <row r="27" customFormat="false" ht="45.75" hidden="false" customHeight="true" outlineLevel="0" collapsed="false">
      <c r="A27" s="9" t="s">
        <v>60</v>
      </c>
      <c r="B27" s="10" t="s">
        <v>61</v>
      </c>
      <c r="C27" s="4" t="s">
        <v>74</v>
      </c>
      <c r="D27" s="4" t="s">
        <v>75</v>
      </c>
      <c r="E27" s="4"/>
    </row>
  </sheetData>
  <autoFilter ref="A1:E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1" t="s">
        <v>0</v>
      </c>
      <c r="B1" s="11" t="s">
        <v>76</v>
      </c>
    </row>
    <row r="2" customFormat="false" ht="15" hidden="false" customHeight="false" outlineLevel="0" collapsed="false">
      <c r="A2" s="12" t="s">
        <v>5</v>
      </c>
      <c r="B2" s="12" t="n">
        <f aca="false">COUNTIF('Sprint Board'!A:A,"To Do")</f>
        <v>9</v>
      </c>
    </row>
    <row r="3" customFormat="false" ht="15" hidden="false" customHeight="false" outlineLevel="0" collapsed="false">
      <c r="A3" s="12" t="s">
        <v>28</v>
      </c>
      <c r="B3" s="12" t="n">
        <f aca="false">COUNTIF('Sprint Board'!A:A,"In Progress")</f>
        <v>1</v>
      </c>
    </row>
    <row r="4" customFormat="false" ht="15" hidden="false" customHeight="false" outlineLevel="0" collapsed="false">
      <c r="A4" s="12" t="s">
        <v>31</v>
      </c>
      <c r="B4" s="12" t="n">
        <f aca="false">COUNTIF('Sprint Board'!A:A,"Review")</f>
        <v>1</v>
      </c>
    </row>
    <row r="5" customFormat="false" ht="15" hidden="false" customHeight="false" outlineLevel="0" collapsed="false">
      <c r="A5" s="12" t="s">
        <v>35</v>
      </c>
      <c r="B5" s="12" t="n">
        <f aca="false">COUNTIF('Sprint Board'!A:A,"Done")</f>
        <v>8</v>
      </c>
    </row>
    <row r="6" customFormat="false" ht="15" hidden="false" customHeight="false" outlineLevel="0" collapsed="false">
      <c r="A6" s="12" t="s">
        <v>60</v>
      </c>
      <c r="B6" s="12" t="n">
        <f aca="false">COUNTIF('Sprint Board'!A:A,"Blocked")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2026-08-20T11:51:15Z</dcterms:created>
  <dc:creator>openpyxl</dc:creator>
  <dc:description/>
  <dc:language>en-US</dc:language>
  <cp:lastModifiedBy/>
  <dcterms:modified xsi:type="dcterms:W3CDTF">2026-08-20T11:51:15Z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